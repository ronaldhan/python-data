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Projects\EyeC2\branches\EyeC_V2.0_Alpha\02_Sources\GeoCal\calc_utility\"/>
    </mc:Choice>
  </mc:AlternateContent>
  <bookViews>
    <workbookView xWindow="0" yWindow="0" windowWidth="32370" windowHeight="2661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B7" i="1"/>
  <c r="D2" i="1"/>
  <c r="D7" i="1"/>
  <c r="C3" i="1" l="1"/>
  <c r="C4" i="1" s="1"/>
  <c r="B3" i="1"/>
  <c r="B4" i="1" s="1"/>
  <c r="D4" i="1"/>
  <c r="D3" i="1"/>
  <c r="C5" i="1" l="1"/>
  <c r="C6" i="1" s="1"/>
  <c r="B5" i="1"/>
  <c r="B6" i="1" s="1"/>
  <c r="D6" i="1"/>
  <c r="D5" i="1"/>
</calcChain>
</file>

<file path=xl/sharedStrings.xml><?xml version="1.0" encoding="utf-8"?>
<sst xmlns="http://schemas.openxmlformats.org/spreadsheetml/2006/main" count="10" uniqueCount="10">
  <si>
    <t>FUNCTION</t>
    <phoneticPr fontId="1" type="noConversion"/>
  </si>
  <si>
    <t>Lng</t>
    <phoneticPr fontId="1" type="noConversion"/>
  </si>
  <si>
    <t>Lat</t>
    <phoneticPr fontId="1" type="noConversion"/>
  </si>
  <si>
    <t>WGS2GCJ</t>
    <phoneticPr fontId="1" type="noConversion"/>
  </si>
  <si>
    <t>Result</t>
    <phoneticPr fontId="1" type="noConversion"/>
  </si>
  <si>
    <t>GCJ2WGS</t>
    <phoneticPr fontId="1" type="noConversion"/>
  </si>
  <si>
    <t>GCJ2BD</t>
    <phoneticPr fontId="1" type="noConversion"/>
  </si>
  <si>
    <t>BD2GCJ</t>
    <phoneticPr fontId="1" type="noConversion"/>
  </si>
  <si>
    <t>BD2WGS</t>
    <phoneticPr fontId="1" type="noConversion"/>
  </si>
  <si>
    <t>WGS2BD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</si>
</sst>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/>
  </sheetViews>
  <sheetFormatPr defaultRowHeight="13.5" x14ac:dyDescent="0.15"/>
  <cols>
    <col min="2" max="3" width="18.375" bestFit="1" customWidth="1"/>
    <col min="4" max="4" width="37.125" bestFit="1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4</v>
      </c>
    </row>
    <row r="2" spans="1:4" x14ac:dyDescent="0.15">
      <c r="A2" t="s">
        <v>3</v>
      </c>
      <c r="B2">
        <v>117.740886</v>
      </c>
      <c r="C2">
        <v>39.117739</v>
      </c>
      <c r="D2" t="str">
        <f>WGS2GCJ(B2,C2)</f>
        <v>117.747201173951,39.1187335647474</v>
      </c>
    </row>
    <row r="3" spans="1:4" x14ac:dyDescent="0.15">
      <c r="A3" t="s">
        <v>5</v>
      </c>
      <c r="B3" t="str">
        <f>LEFT(D2,FIND(",",D2)-1)</f>
        <v>117.747201173951</v>
      </c>
      <c r="C3" t="str">
        <f>MID(D2,FIND(",",D2)+1,LEN(D2)-FIND(",",D2)+1)</f>
        <v>39.1187335647474</v>
      </c>
      <c r="D3" t="str">
        <f>GCJ2WGS(B3,C3)</f>
        <v>117.7408,39.1176</v>
      </c>
    </row>
    <row r="4" spans="1:4" x14ac:dyDescent="0.15">
      <c r="A4" t="s">
        <v>6</v>
      </c>
      <c r="B4" t="str">
        <f>B3</f>
        <v>117.747201173951</v>
      </c>
      <c r="C4" t="str">
        <f>C3</f>
        <v>39.1187335647474</v>
      </c>
      <c r="D4" t="str">
        <f>GCJ2BD(B4,C4)</f>
        <v>117.753682779681,39.1247847280427</v>
      </c>
    </row>
    <row r="5" spans="1:4" x14ac:dyDescent="0.15">
      <c r="A5" t="s">
        <v>7</v>
      </c>
      <c r="B5" t="str">
        <f>LEFT(D4,FIND(",",D4)-1)</f>
        <v>117.753682779681</v>
      </c>
      <c r="C5" t="str">
        <f>MID(D4,FIND(",",D4)+1,LEN(D4)-FIND(",",D4)+1)</f>
        <v>39.1247847280427</v>
      </c>
      <c r="D5" t="str">
        <f>BD2GCJ(B5,C5)</f>
        <v>117.747201235022,39.1187332113468</v>
      </c>
    </row>
    <row r="6" spans="1:4" x14ac:dyDescent="0.15">
      <c r="A6" t="s">
        <v>8</v>
      </c>
      <c r="B6" t="str">
        <f>B5</f>
        <v>117.753682779681</v>
      </c>
      <c r="C6" t="str">
        <f>C5</f>
        <v>39.1247847280427</v>
      </c>
      <c r="D6" t="str">
        <f>BD2WGS(B6,C6)</f>
        <v>117.7408,39.1176</v>
      </c>
    </row>
    <row r="7" spans="1:4" x14ac:dyDescent="0.15">
      <c r="A7" t="s">
        <v>9</v>
      </c>
      <c r="B7">
        <f>B2</f>
        <v>117.740886</v>
      </c>
      <c r="C7">
        <f>C2</f>
        <v>39.117739</v>
      </c>
      <c r="D7" t="str">
        <f>WGS2BD(B7,C7)</f>
        <v>117.753682779681,39.1247847280427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Esri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</dc:creator>
  <cp:lastModifiedBy>Nathan</cp:lastModifiedBy>
  <dcterms:created xsi:type="dcterms:W3CDTF">2014-10-22T06:13:33Z</dcterms:created>
  <dcterms:modified xsi:type="dcterms:W3CDTF">2014-10-22T09:11:30Z</dcterms:modified>
</cp:coreProperties>
</file>